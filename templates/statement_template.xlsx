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website\students_marks_system\templates\"/>
    </mc:Choice>
  </mc:AlternateContent>
  <bookViews>
    <workbookView xWindow="0" yWindow="0" windowWidth="15360" windowHeight="8205"/>
  </bookViews>
  <sheets>
    <sheet name="Sheet1" sheetId="1" r:id="rId1"/>
  </sheets>
  <externalReferences>
    <externalReference r:id="rId2"/>
  </externalReferences>
  <definedNames>
    <definedName name="_xlnm.Print_Area" localSheetId="0">Sheet1!$A$1:$K$19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H15" i="1"/>
  <c r="B18" i="1" l="1"/>
  <c r="K16" i="1"/>
  <c r="K15" i="1"/>
  <c r="J15" i="1"/>
  <c r="I15" i="1"/>
  <c r="G15" i="1"/>
  <c r="D15" i="1"/>
  <c r="C15" i="1"/>
  <c r="B15" i="1"/>
  <c r="A15" i="1"/>
  <c r="K14" i="1"/>
  <c r="J14" i="1"/>
  <c r="I14" i="1"/>
  <c r="H14" i="1"/>
  <c r="G14" i="1"/>
  <c r="D14" i="1"/>
  <c r="C14" i="1"/>
  <c r="B14" i="1"/>
  <c r="A14" i="1"/>
  <c r="K13" i="1"/>
  <c r="J13" i="1"/>
  <c r="I13" i="1"/>
  <c r="H13" i="1"/>
  <c r="G13" i="1"/>
  <c r="D13" i="1"/>
  <c r="C13" i="1"/>
  <c r="B13" i="1"/>
  <c r="A13" i="1"/>
  <c r="K12" i="1"/>
  <c r="J12" i="1"/>
  <c r="I12" i="1"/>
  <c r="H12" i="1"/>
  <c r="G12" i="1"/>
  <c r="D12" i="1"/>
  <c r="C12" i="1"/>
  <c r="B12" i="1"/>
  <c r="A12" i="1"/>
  <c r="K11" i="1"/>
  <c r="J11" i="1"/>
  <c r="I11" i="1"/>
  <c r="H11" i="1"/>
  <c r="G11" i="1"/>
  <c r="D11" i="1"/>
  <c r="C11" i="1"/>
  <c r="B11" i="1"/>
  <c r="A11" i="1"/>
  <c r="K10" i="1"/>
  <c r="J10" i="1"/>
  <c r="I10" i="1"/>
  <c r="H10" i="1"/>
  <c r="G10" i="1"/>
  <c r="C10" i="1"/>
  <c r="B10" i="1"/>
  <c r="A10" i="1"/>
  <c r="J8" i="1"/>
  <c r="F8" i="1"/>
  <c r="B8" i="1"/>
  <c r="J7" i="1"/>
  <c r="B7" i="1"/>
  <c r="J6" i="1"/>
  <c r="B6" i="1"/>
</calcChain>
</file>

<file path=xl/sharedStrings.xml><?xml version="1.0" encoding="utf-8"?>
<sst xmlns="http://schemas.openxmlformats.org/spreadsheetml/2006/main" count="23" uniqueCount="23">
  <si>
    <t>DMI-ST.JOHN THE BAPTIST UNIVERSITY</t>
  </si>
  <si>
    <t>Lilongwe, Malawi</t>
  </si>
  <si>
    <t>DEGREE/DIPLOMA EXAMINATIONS</t>
  </si>
  <si>
    <t>STATEMENT OF MARKS AND GRADES</t>
  </si>
  <si>
    <t>Name of the candidate</t>
  </si>
  <si>
    <t>Register No.</t>
  </si>
  <si>
    <t>Programme</t>
  </si>
  <si>
    <t>Month &amp; Year of Exam</t>
  </si>
  <si>
    <t>Centre Code and Name</t>
  </si>
  <si>
    <t>Date  of Entry</t>
  </si>
  <si>
    <t>Date of Publication</t>
  </si>
  <si>
    <t>Semester</t>
  </si>
  <si>
    <t>Module Code</t>
  </si>
  <si>
    <t>Credit</t>
  </si>
  <si>
    <t>Module Name</t>
  </si>
  <si>
    <t>CA</t>
  </si>
  <si>
    <t>SE</t>
  </si>
  <si>
    <t>Total</t>
  </si>
  <si>
    <t>Grade</t>
  </si>
  <si>
    <t>Result</t>
  </si>
  <si>
    <t>GPA</t>
  </si>
  <si>
    <t>Issued on</t>
  </si>
  <si>
    <t>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</si>
</sst>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22"/>
      <color theme="1"/>
      <name val="StempelGaramond Roman"/>
      <family val="1"/>
    </font>
    <font>
      <b/>
      <sz val="2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0" borderId="7" xfId="0" applyFont="1" applyBorder="1" applyAlignment="1">
      <alignment vertical="center"/>
    </xf>
    <xf numFmtId="0" fontId="3" fillId="0" borderId="8" xfId="0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7" fontId="3" fillId="0" borderId="9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/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" fontId="3" fillId="0" borderId="1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138391</xdr:colOff>
      <xdr:row>0</xdr:row>
      <xdr:rowOff>121024</xdr:rowOff>
    </xdr:from>
    <xdr:to>
      <xdr:col>1</xdr:col>
      <xdr:colOff>62191</xdr:colOff>
      <xdr:row>2</xdr:row>
      <xdr:rowOff>176588</xdr:rowOff>
    </xdr:to>
    <xdr:pic>
      <xdr:nvPicPr>
        <xdr:cNvPr id="2" name="Picture 1" descr="D:\MALAWI\Logo_Malawi.jpg">
          <a:extLst>
            <a:ext uri="{FF2B5EF4-FFF2-40B4-BE49-F238E27FC236}">
              <a16:creationId xmlns:a16="http://schemas.microsoft.com/office/drawing/2014/main" id="{AF3EF706-8D8A-46B6-BBB8-5FCFA885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391" y="121024"/>
          <a:ext cx="652182" cy="4365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UJITSU\3D%20Objects\marks\2531155208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GREE "/>
      <sheetName val="Sheet1"/>
      <sheetName val="Sheet 2"/>
      <sheetName val="Sheet2"/>
    </sheetNames>
    <sheetDataSet>
      <sheetData sheetId="0">
        <row r="2">
          <cell r="B2" t="str">
            <v>DMISJBU - 41</v>
          </cell>
          <cell r="C2" t="str">
            <v xml:space="preserve">BACHELOR OF BUSINESS ADMINISTRATION       </v>
          </cell>
          <cell r="D2" t="str">
            <v>ANDREW NTENTHAONGA</v>
          </cell>
          <cell r="E2">
            <v>25311552080</v>
          </cell>
          <cell r="F2" t="str">
            <v>Sep-2025</v>
          </cell>
          <cell r="G2" t="str">
            <v>March,2026</v>
          </cell>
          <cell r="H2" t="str">
            <v>09.03.2026</v>
          </cell>
          <cell r="I2" t="str">
            <v>I</v>
          </cell>
          <cell r="K2" t="str">
            <v xml:space="preserve">552 SE 1101 </v>
          </cell>
          <cell r="L2">
            <v>9</v>
          </cell>
          <cell r="M2" t="str">
            <v>Business Communication</v>
          </cell>
          <cell r="N2">
            <v>29.5</v>
          </cell>
          <cell r="O2">
            <v>40.200000000000003</v>
          </cell>
          <cell r="P2">
            <v>70</v>
          </cell>
          <cell r="Q2" t="str">
            <v>B+</v>
          </cell>
          <cell r="R2" t="str">
            <v>PASS</v>
          </cell>
          <cell r="S2">
            <v>3.7</v>
          </cell>
          <cell r="U2" t="str">
            <v>19.08.2026</v>
          </cell>
        </row>
        <row r="3">
          <cell r="I3" t="str">
            <v>I</v>
          </cell>
          <cell r="K3" t="str">
            <v>552 MA 1102</v>
          </cell>
          <cell r="L3">
            <v>12</v>
          </cell>
          <cell r="M3" t="str">
            <v>Business Mathematics</v>
          </cell>
          <cell r="N3">
            <v>32.6</v>
          </cell>
          <cell r="O3">
            <v>30</v>
          </cell>
          <cell r="P3">
            <v>63</v>
          </cell>
          <cell r="Q3" t="str">
            <v>B</v>
          </cell>
          <cell r="R3" t="str">
            <v>PASS</v>
          </cell>
        </row>
        <row r="4">
          <cell r="I4" t="str">
            <v>I</v>
          </cell>
          <cell r="K4" t="str">
            <v>552 EC 1103</v>
          </cell>
          <cell r="L4">
            <v>12</v>
          </cell>
          <cell r="M4" t="str">
            <v>Business Economics</v>
          </cell>
          <cell r="N4">
            <v>21.8</v>
          </cell>
          <cell r="O4">
            <v>38.4</v>
          </cell>
          <cell r="P4">
            <v>60</v>
          </cell>
          <cell r="Q4" t="str">
            <v>B</v>
          </cell>
          <cell r="R4" t="str">
            <v>PASS</v>
          </cell>
        </row>
        <row r="5">
          <cell r="I5" t="str">
            <v>I</v>
          </cell>
          <cell r="K5" t="str">
            <v>552 MG 1104</v>
          </cell>
          <cell r="L5">
            <v>12</v>
          </cell>
          <cell r="M5" t="str">
            <v>Business Studies I</v>
          </cell>
          <cell r="N5">
            <v>29.6</v>
          </cell>
          <cell r="O5">
            <v>34.199999999999996</v>
          </cell>
          <cell r="P5">
            <v>64</v>
          </cell>
          <cell r="Q5" t="str">
            <v>B</v>
          </cell>
          <cell r="R5" t="str">
            <v>PASS</v>
          </cell>
        </row>
        <row r="6">
          <cell r="I6" t="str">
            <v>I</v>
          </cell>
          <cell r="K6" t="str">
            <v>552 CS 1105</v>
          </cell>
          <cell r="L6">
            <v>9</v>
          </cell>
          <cell r="M6" t="str">
            <v>Fundalmentals of IT</v>
          </cell>
          <cell r="N6">
            <v>31.9</v>
          </cell>
          <cell r="O6">
            <v>45</v>
          </cell>
          <cell r="P6">
            <v>77</v>
          </cell>
          <cell r="Q6" t="str">
            <v>A</v>
          </cell>
          <cell r="R6" t="str">
            <v>PASS</v>
          </cell>
        </row>
        <row r="7">
          <cell r="I7" t="str">
            <v>I</v>
          </cell>
          <cell r="K7" t="str">
            <v>552 CS 1106</v>
          </cell>
          <cell r="L7">
            <v>9</v>
          </cell>
          <cell r="M7" t="str">
            <v>Office Automation Tools I</v>
          </cell>
          <cell r="N7">
            <v>33.199999999999996</v>
          </cell>
          <cell r="O7">
            <v>52</v>
          </cell>
          <cell r="P7">
            <v>85</v>
          </cell>
          <cell r="Q7" t="str">
            <v>A</v>
          </cell>
          <cell r="R7" t="str">
            <v>PASS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view="pageBreakPreview" topLeftCell="A4" zoomScale="85" zoomScaleNormal="100" zoomScaleSheetLayoutView="85" workbookViewId="0">
      <selection activeCell="D10" sqref="D10:F10"/>
    </sheetView>
  </sheetViews>
  <sheetFormatPr defaultRowHeight="15"/>
  <cols>
    <col min="1" max="1" width="10.85546875" bestFit="1" customWidth="1"/>
    <col min="2" max="2" width="12.5703125" bestFit="1" customWidth="1"/>
    <col min="3" max="3" width="9.140625" customWidth="1"/>
    <col min="4" max="4" width="16.5703125" customWidth="1"/>
    <col min="5" max="5" width="9.140625" customWidth="1"/>
    <col min="6" max="6" width="12.5703125" customWidth="1"/>
    <col min="8" max="8" width="9.140625" customWidth="1"/>
  </cols>
  <sheetData>
    <row r="1" spans="1:11" ht="30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1"/>
    </row>
    <row r="2" spans="1:11" ht="30" customHeight="1">
      <c r="A2" s="32"/>
      <c r="B2" s="33"/>
      <c r="C2" s="33"/>
      <c r="D2" s="33"/>
      <c r="E2" s="33"/>
      <c r="F2" s="33"/>
      <c r="G2" s="33"/>
      <c r="H2" s="33"/>
      <c r="I2" s="33"/>
      <c r="J2" s="33"/>
      <c r="K2" s="34"/>
    </row>
    <row r="3" spans="1:11" ht="30" customHeight="1">
      <c r="A3" s="1"/>
      <c r="B3" s="13"/>
      <c r="C3" s="13"/>
      <c r="D3" s="35" t="s">
        <v>1</v>
      </c>
      <c r="E3" s="35"/>
      <c r="F3" s="35"/>
      <c r="G3" s="35"/>
      <c r="H3" s="13"/>
      <c r="I3" s="13"/>
      <c r="J3" s="13"/>
      <c r="K3" s="2"/>
    </row>
    <row r="4" spans="1:11" ht="30" customHeight="1">
      <c r="A4" s="3"/>
      <c r="B4" s="4"/>
      <c r="C4" s="4"/>
      <c r="D4" s="5" t="s">
        <v>2</v>
      </c>
      <c r="E4" s="5"/>
      <c r="F4" s="5"/>
      <c r="G4" s="5"/>
      <c r="H4" s="4"/>
      <c r="I4" s="4"/>
      <c r="J4" s="4"/>
      <c r="K4" s="6"/>
    </row>
    <row r="5" spans="1:11" ht="45.75" customHeight="1">
      <c r="A5" s="36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8"/>
    </row>
    <row r="6" spans="1:11" ht="45.75" customHeight="1">
      <c r="A6" s="7" t="s">
        <v>4</v>
      </c>
      <c r="B6" s="26" t="str">
        <f>'[1]DEGREE '!D2</f>
        <v>ANDREW NTENTHAONGA</v>
      </c>
      <c r="C6" s="27"/>
      <c r="D6" s="27"/>
      <c r="E6" s="27"/>
      <c r="F6" s="27"/>
      <c r="G6" s="26" t="s">
        <v>5</v>
      </c>
      <c r="H6" s="27"/>
      <c r="I6" s="28"/>
      <c r="J6" s="21">
        <f>'[1]DEGREE '!E2</f>
        <v>25311552080</v>
      </c>
      <c r="K6" s="21"/>
    </row>
    <row r="7" spans="1:11" ht="45.75" customHeight="1">
      <c r="A7" s="8" t="s">
        <v>6</v>
      </c>
      <c r="B7" s="22" t="str">
        <f>'[1]DEGREE '!C2</f>
        <v xml:space="preserve">BACHELOR OF BUSINESS ADMINISTRATION       </v>
      </c>
      <c r="C7" s="23"/>
      <c r="D7" s="23"/>
      <c r="E7" s="23"/>
      <c r="F7" s="23"/>
      <c r="G7" s="22" t="s">
        <v>7</v>
      </c>
      <c r="H7" s="23"/>
      <c r="I7" s="24"/>
      <c r="J7" s="25" t="str">
        <f>'[1]DEGREE '!G2</f>
        <v>March,2026</v>
      </c>
      <c r="K7" s="21"/>
    </row>
    <row r="8" spans="1:11" ht="45.75" customHeight="1">
      <c r="A8" s="9" t="s">
        <v>8</v>
      </c>
      <c r="B8" s="21" t="str">
        <f>'[1]DEGREE '!B2</f>
        <v>DMISJBU - 41</v>
      </c>
      <c r="C8" s="21"/>
      <c r="D8" s="21" t="s">
        <v>9</v>
      </c>
      <c r="E8" s="21"/>
      <c r="F8" s="10" t="str">
        <f>'[1]DEGREE '!F2</f>
        <v>Sep-2025</v>
      </c>
      <c r="G8" s="26" t="s">
        <v>10</v>
      </c>
      <c r="H8" s="27"/>
      <c r="I8" s="28"/>
      <c r="J8" s="25" t="str">
        <f>'[1]DEGREE '!H2</f>
        <v>09.03.2026</v>
      </c>
      <c r="K8" s="21"/>
    </row>
    <row r="9" spans="1:11" ht="45.75" customHeight="1">
      <c r="A9" s="8" t="s">
        <v>11</v>
      </c>
      <c r="B9" s="9" t="s">
        <v>12</v>
      </c>
      <c r="C9" s="8" t="s">
        <v>13</v>
      </c>
      <c r="D9" s="21" t="s">
        <v>14</v>
      </c>
      <c r="E9" s="21"/>
      <c r="F9" s="21"/>
      <c r="G9" s="9" t="s">
        <v>15</v>
      </c>
      <c r="H9" s="9" t="s">
        <v>16</v>
      </c>
      <c r="I9" s="9" t="s">
        <v>17</v>
      </c>
      <c r="J9" s="9" t="s">
        <v>18</v>
      </c>
      <c r="K9" s="9" t="s">
        <v>19</v>
      </c>
    </row>
    <row r="10" spans="1:11" ht="45.75" customHeight="1">
      <c r="A10" s="8" t="str">
        <f>'[1]DEGREE '!I2</f>
        <v>I</v>
      </c>
      <c r="B10" s="8" t="str">
        <f>'[1]DEGREE '!K2</f>
        <v xml:space="preserve">552 SE 1101 </v>
      </c>
      <c r="C10" s="8">
        <f>'[1]DEGREE '!L2</f>
        <v>9</v>
      </c>
      <c r="D10" s="17" t="str">
        <f>'[1]DEGREE '!M2</f>
        <v>Business Communication</v>
      </c>
      <c r="E10" s="18"/>
      <c r="F10" s="19"/>
      <c r="G10" s="11">
        <f>'[1]DEGREE '!N2</f>
        <v>29.5</v>
      </c>
      <c r="H10" s="11">
        <f>'[1]DEGREE '!O2</f>
        <v>40.200000000000003</v>
      </c>
      <c r="I10" s="11">
        <f>'[1]DEGREE '!P2</f>
        <v>70</v>
      </c>
      <c r="J10" s="8" t="str">
        <f>'[1]DEGREE '!Q2</f>
        <v>B+</v>
      </c>
      <c r="K10" s="8" t="str">
        <f>'[1]DEGREE '!R2</f>
        <v>PASS</v>
      </c>
    </row>
    <row r="11" spans="1:11" ht="45.75" customHeight="1">
      <c r="A11" s="8" t="str">
        <f>'[1]DEGREE '!I3</f>
        <v>I</v>
      </c>
      <c r="B11" s="8" t="str">
        <f>'[1]DEGREE '!K3</f>
        <v>552 MA 1102</v>
      </c>
      <c r="C11" s="8">
        <f>'[1]DEGREE '!L3</f>
        <v>12</v>
      </c>
      <c r="D11" s="17" t="str">
        <f>'[1]DEGREE '!M3</f>
        <v>Business Mathematics</v>
      </c>
      <c r="E11" s="18"/>
      <c r="F11" s="19"/>
      <c r="G11" s="11">
        <f>'[1]DEGREE '!N3</f>
        <v>32.6</v>
      </c>
      <c r="H11" s="11">
        <f>'[1]DEGREE '!O3</f>
        <v>30</v>
      </c>
      <c r="I11" s="11">
        <f>'[1]DEGREE '!P3</f>
        <v>63</v>
      </c>
      <c r="J11" s="8" t="str">
        <f>'[1]DEGREE '!Q3</f>
        <v>B</v>
      </c>
      <c r="K11" s="8" t="str">
        <f>'[1]DEGREE '!R3</f>
        <v>PASS</v>
      </c>
    </row>
    <row r="12" spans="1:11" ht="45.75" customHeight="1">
      <c r="A12" s="8" t="str">
        <f>'[1]DEGREE '!I4</f>
        <v>I</v>
      </c>
      <c r="B12" s="8" t="str">
        <f>'[1]DEGREE '!K4</f>
        <v>552 EC 1103</v>
      </c>
      <c r="C12" s="8">
        <f>'[1]DEGREE '!L4</f>
        <v>12</v>
      </c>
      <c r="D12" s="17" t="str">
        <f>'[1]DEGREE '!M4</f>
        <v>Business Economics</v>
      </c>
      <c r="E12" s="18"/>
      <c r="F12" s="19"/>
      <c r="G12" s="11">
        <f>'[1]DEGREE '!N4</f>
        <v>21.8</v>
      </c>
      <c r="H12" s="11">
        <f>'[1]DEGREE '!O4</f>
        <v>38.4</v>
      </c>
      <c r="I12" s="11">
        <f>'[1]DEGREE '!P4</f>
        <v>60</v>
      </c>
      <c r="J12" s="8" t="str">
        <f>'[1]DEGREE '!Q4</f>
        <v>B</v>
      </c>
      <c r="K12" s="8" t="str">
        <f>'[1]DEGREE '!R4</f>
        <v>PASS</v>
      </c>
    </row>
    <row r="13" spans="1:11" ht="45.75" customHeight="1">
      <c r="A13" s="8" t="str">
        <f>'[1]DEGREE '!I5</f>
        <v>I</v>
      </c>
      <c r="B13" s="8" t="str">
        <f>'[1]DEGREE '!K5</f>
        <v>552 MG 1104</v>
      </c>
      <c r="C13" s="8">
        <f>'[1]DEGREE '!L5</f>
        <v>12</v>
      </c>
      <c r="D13" s="17" t="str">
        <f>'[1]DEGREE '!M5</f>
        <v>Business Studies I</v>
      </c>
      <c r="E13" s="18"/>
      <c r="F13" s="19"/>
      <c r="G13" s="11">
        <f>'[1]DEGREE '!N5</f>
        <v>29.6</v>
      </c>
      <c r="H13" s="11">
        <f>'[1]DEGREE '!O5</f>
        <v>34.199999999999996</v>
      </c>
      <c r="I13" s="11">
        <f>'[1]DEGREE '!P5</f>
        <v>64</v>
      </c>
      <c r="J13" s="8" t="str">
        <f>'[1]DEGREE '!Q5</f>
        <v>B</v>
      </c>
      <c r="K13" s="8" t="str">
        <f>'[1]DEGREE '!R5</f>
        <v>PASS</v>
      </c>
    </row>
    <row r="14" spans="1:11" ht="45.75" customHeight="1">
      <c r="A14" s="8" t="str">
        <f>'[1]DEGREE '!I6</f>
        <v>I</v>
      </c>
      <c r="B14" s="8" t="str">
        <f>'[1]DEGREE '!K6</f>
        <v>552 CS 1105</v>
      </c>
      <c r="C14" s="8">
        <f>'[1]DEGREE '!L6</f>
        <v>9</v>
      </c>
      <c r="D14" s="17" t="str">
        <f>'[1]DEGREE '!M6</f>
        <v>Fundalmentals of IT</v>
      </c>
      <c r="E14" s="18"/>
      <c r="F14" s="19"/>
      <c r="G14" s="11">
        <f>'[1]DEGREE '!N6</f>
        <v>31.9</v>
      </c>
      <c r="H14" s="11">
        <f>'[1]DEGREE '!O6</f>
        <v>45</v>
      </c>
      <c r="I14" s="11">
        <f>'[1]DEGREE '!P6</f>
        <v>77</v>
      </c>
      <c r="J14" s="8" t="str">
        <f>'[1]DEGREE '!Q6</f>
        <v>A</v>
      </c>
      <c r="K14" s="8" t="str">
        <f>'[1]DEGREE '!R6</f>
        <v>PASS</v>
      </c>
    </row>
    <row r="15" spans="1:11" ht="45.75" customHeight="1">
      <c r="A15" s="12" t="str">
        <f>'[1]DEGREE '!I7</f>
        <v>I</v>
      </c>
      <c r="B15" s="12" t="str">
        <f>'[1]DEGREE '!K7</f>
        <v>552 CS 1106</v>
      </c>
      <c r="C15" s="12">
        <f>'[1]DEGREE '!L7</f>
        <v>9</v>
      </c>
      <c r="D15" s="17" t="str">
        <f>'[1]DEGREE '!M7</f>
        <v>Office Automation Tools I</v>
      </c>
      <c r="E15" s="18"/>
      <c r="F15" s="19"/>
      <c r="G15" s="11">
        <f>'[1]DEGREE '!N7</f>
        <v>33.199999999999996</v>
      </c>
      <c r="H15" s="11">
        <f>'[1]DEGREE '!O7</f>
        <v>52</v>
      </c>
      <c r="I15" s="11">
        <f>'[1]DEGREE '!P7</f>
        <v>85</v>
      </c>
      <c r="J15" s="12" t="str">
        <f>'[1]DEGREE '!Q7</f>
        <v>A</v>
      </c>
      <c r="K15" s="12" t="str">
        <f>'[1]DEGREE '!R7</f>
        <v>PASS</v>
      </c>
    </row>
    <row r="16" spans="1:11">
      <c r="A16" s="20"/>
      <c r="B16" s="20"/>
      <c r="C16" s="14"/>
      <c r="D16" s="13"/>
      <c r="E16" s="13"/>
      <c r="F16" s="13"/>
      <c r="G16" s="13"/>
      <c r="H16" s="13"/>
      <c r="I16" s="13"/>
      <c r="J16" s="15" t="s">
        <v>20</v>
      </c>
      <c r="K16" s="15">
        <f>'[1]DEGREE '!S2</f>
        <v>3.7</v>
      </c>
    </row>
    <row r="17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4" t="s">
        <v>21</v>
      </c>
      <c r="B18" s="15" t="str">
        <f>'[1]DEGREE '!U2</f>
        <v>19.08.2026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20.25">
      <c r="A19" s="13"/>
      <c r="B19" s="13"/>
      <c r="C19" s="13"/>
      <c r="D19" s="13"/>
      <c r="E19" s="13"/>
      <c r="F19" s="13"/>
      <c r="G19" s="13"/>
      <c r="H19" s="13"/>
      <c r="I19" s="13"/>
      <c r="J19" s="16" t="s">
        <v>22</v>
      </c>
      <c r="K19" s="13"/>
    </row>
  </sheetData>
  <mergeCells count="21">
    <mergeCell ref="A1:K2"/>
    <mergeCell ref="D3:G3"/>
    <mergeCell ref="A5:K5"/>
    <mergeCell ref="B6:F6"/>
    <mergeCell ref="G6:I6"/>
    <mergeCell ref="J6:K6"/>
    <mergeCell ref="B7:F7"/>
    <mergeCell ref="G7:I7"/>
    <mergeCell ref="J7:K7"/>
    <mergeCell ref="B8:C8"/>
    <mergeCell ref="D8:E8"/>
    <mergeCell ref="G8:I8"/>
    <mergeCell ref="J8:K8"/>
    <mergeCell ref="D15:F15"/>
    <mergeCell ref="A16:B16"/>
    <mergeCell ref="D9:F9"/>
    <mergeCell ref="D10:F10"/>
    <mergeCell ref="D11:F11"/>
    <mergeCell ref="D12:F12"/>
    <mergeCell ref="D13:F13"/>
    <mergeCell ref="D14:F14"/>
  </mergeCells>
  <pageMargins left="0.7" right="0.7" top="0.75" bottom="0.75" header="0.3" footer="0.3"/>
  <pageSetup scale="77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FUJITSU</cp:lastModifiedBy>
  <cp:lastPrinted>2026-10-13T06:41:06Z</cp:lastPrinted>
  <dcterms:created xsi:type="dcterms:W3CDTF">2026-09-30T13:13:33Z</dcterms:created>
  <dcterms:modified xsi:type="dcterms:W3CDTF">2026-10-13T13:22:28Z</dcterms:modified>
</cp:coreProperties>
</file>